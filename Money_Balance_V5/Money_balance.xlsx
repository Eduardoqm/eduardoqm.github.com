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20" yWindow="-120" windowWidth="29040" windowHeight="157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4" i="1" l="1"/>
  <c r="D73" i="1" l="1"/>
  <c r="D72" i="1" l="1"/>
  <c r="D69" i="1" l="1"/>
  <c r="D70" i="1"/>
  <c r="D71" i="1"/>
  <c r="D68" i="1"/>
  <c r="D67" i="1" l="1"/>
  <c r="D66" i="1" l="1"/>
</calcChain>
</file>

<file path=xl/sharedStrings.xml><?xml version="1.0" encoding="utf-8"?>
<sst xmlns="http://schemas.openxmlformats.org/spreadsheetml/2006/main" count="79" uniqueCount="52">
  <si>
    <t>Valued_stuff</t>
  </si>
  <si>
    <t>bank</t>
  </si>
  <si>
    <t>all</t>
  </si>
  <si>
    <t>Date</t>
  </si>
  <si>
    <t>Obs</t>
  </si>
  <si>
    <t>Bens=carro</t>
  </si>
  <si>
    <t>Bens=carro, lote comprado por 7500 reais</t>
  </si>
  <si>
    <t>Bens=carro, lote</t>
  </si>
  <si>
    <t>Bens=carro, lote, Admob</t>
  </si>
  <si>
    <t>Bens=carro, lote, mudanï¿½a de casa e data de aluguel agora tambï¿½m ï¿½ dia 10</t>
  </si>
  <si>
    <t>Gastos altos com o problema hepatico do Steve, venda do ar condicionado por 2 meses de aluguel, start conta bs2</t>
  </si>
  <si>
    <t>Reflexo financeiro do tratamento do Steve, nï¿½o recebi do adsense atï¿½ o dia 10 e primeiro mï¿½s de aluguel sem pagar</t>
  </si>
  <si>
    <t>Recibi do adsense depois do balaco do mï¿½s passado, playstore baniu meus aplicativos e minha conta</t>
  </si>
  <si>
    <t>Ultimo recebimento do adsense</t>
  </si>
  <si>
    <t>Nï¿½o foi possï¿½vel fazer o balanï¿½o financeiro</t>
  </si>
  <si>
    <t>Recebi muito dinheiro do cnpq (descontei previsï¿½o de gasto com passagem, seguro, etc e da devolulaï¿½ï¿½o da bolsa CAPES)</t>
  </si>
  <si>
    <t>Descontei previsï¿½o de gasto com passagem no valor de 5 mil</t>
  </si>
  <si>
    <t>Nao foi possï¿½vel fazer o relatï¿½rio. Muita correria na mudanï¿½a para suï¿½ï¿½a</t>
  </si>
  <si>
    <t>Vendi todas minha aï¿½oes com intenï¿½ï¿½o de aplicar em cripto, mas nï¿½o saquei o dinheiro da corretora atï¿½ entï¿½o. Vendi o Uno mas ainda nï¿½o recebi o valor dele.</t>
  </si>
  <si>
    <t>Acumulei economia de 4 meses de bolsa. Passarei um tempo sem entrada de dinheiro na poupanï¿½a.</t>
  </si>
  <si>
    <t>Fiz os calculos antes de emprestar 1500 para minha mae</t>
  </si>
  <si>
    <t>Comeco em Leipzig. Nï¿½o deu para inserir dinheiro na conta em reais.</t>
  </si>
  <si>
    <t>Nï¿½o deu para inserir dinheiro na conta em reais.</t>
  </si>
  <si>
    <t>Volta da Europa, meu orï¿½amento estï¿½ uma bagunï¿½a.</t>
  </si>
  <si>
    <t>IPAM me deu um dinheiro atÃ© o CNPq me pagar (dinheiro da passagem) e recebi o dinheiro do carro.</t>
  </si>
  <si>
    <t>Desloquei dinheiro de Euro para conta Nubank para aplicar em CDB.</t>
  </si>
  <si>
    <t>A conta chegou. Fatura super alta do cartÃ£o.</t>
  </si>
  <si>
    <t>Paguei o documento da moto do Godinho</t>
  </si>
  <si>
    <t>Valores simulados periodo sem balanco</t>
  </si>
  <si>
    <t>Valores simulados periodo sem balanco e mudanca para o Para</t>
  </si>
  <si>
    <t>Comprei um carro noo valor de 24 mil</t>
  </si>
  <si>
    <t>Contratei uma neupscicologa no valor de 2000</t>
  </si>
  <si>
    <t>Comprei uma maquina de lavar no valor de 1663</t>
  </si>
  <si>
    <t>Foi debitado valor da maquina de lavar</t>
  </si>
  <si>
    <t>Bens: carro = 24 mil e lote = 20 mil</t>
  </si>
  <si>
    <t>nao consegui fazer o balanco</t>
  </si>
  <si>
    <t>Quitei o NUBANK, Bens: carro = 24 mil e lote = 20 mil</t>
  </si>
  <si>
    <t>Bens: carro = 24 mil, lote = 20 mil e pop = 3 mil</t>
  </si>
  <si>
    <t>Recebi 9000 de dinherio que estava emprestado</t>
  </si>
  <si>
    <t>Implemantacao de controle por caixas e nao deu pra fazer o balanco</t>
  </si>
  <si>
    <t>Muitos gastos do fim de ano</t>
  </si>
  <si>
    <t>Salary</t>
  </si>
  <si>
    <t>No balance</t>
  </si>
  <si>
    <t>Recebi 12000 de consultoria</t>
  </si>
  <si>
    <t>Recebi 10000 de dinheiro emprestado</t>
  </si>
  <si>
    <t>Começo dos invest in bit</t>
  </si>
  <si>
    <t>Ultimo mes do segundo posdoc and nore invest in bit.</t>
  </si>
  <si>
    <t>Invest fail, no balance</t>
  </si>
  <si>
    <t>Balance, too much spending in Jan, New celphone and flight tickets in last day.</t>
  </si>
  <si>
    <t>Onde day before day 10</t>
  </si>
  <si>
    <t>Onde day before day 10, solved car parts</t>
  </si>
  <si>
    <t>No significant 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</si>
</sst>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4"/>
  <sheetViews>
    <sheetView tabSelected="1" topLeftCell="A56" workbookViewId="0">
      <selection activeCell="F74" sqref="F74"/>
    </sheetView>
  </sheetViews>
  <sheetFormatPr defaultRowHeight="14.4" x14ac:dyDescent="0.55000000000000004"/>
  <cols>
    <col min="2" max="2" width="12" customWidth="1"/>
    <col min="5" max="5" width="18.578125" customWidth="1"/>
  </cols>
  <sheetData>
    <row r="1" spans="1:6" x14ac:dyDescent="0.55000000000000004">
      <c r="A1" t="s">
        <v>41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55000000000000004">
      <c r="A2">
        <v>2200</v>
      </c>
      <c r="B2">
        <v>10000</v>
      </c>
      <c r="C2">
        <v>15325.04</v>
      </c>
      <c r="D2">
        <v>25325.040000000001</v>
      </c>
      <c r="E2" s="1">
        <v>43961</v>
      </c>
      <c r="F2" t="s">
        <v>5</v>
      </c>
    </row>
    <row r="3" spans="1:6" x14ac:dyDescent="0.55000000000000004">
      <c r="A3">
        <v>2200</v>
      </c>
      <c r="B3">
        <v>10000</v>
      </c>
      <c r="C3">
        <v>16300.29</v>
      </c>
      <c r="D3">
        <v>26300.29</v>
      </c>
      <c r="E3" s="1">
        <v>43992</v>
      </c>
      <c r="F3" t="s">
        <v>5</v>
      </c>
    </row>
    <row r="4" spans="1:6" x14ac:dyDescent="0.55000000000000004">
      <c r="A4">
        <v>2200</v>
      </c>
      <c r="B4">
        <v>10000</v>
      </c>
      <c r="C4">
        <v>17593.11</v>
      </c>
      <c r="D4">
        <v>27593.11</v>
      </c>
      <c r="E4" s="1">
        <v>44022</v>
      </c>
      <c r="F4" t="s">
        <v>5</v>
      </c>
    </row>
    <row r="5" spans="1:6" x14ac:dyDescent="0.55000000000000004">
      <c r="A5">
        <v>2200</v>
      </c>
      <c r="B5">
        <v>9500</v>
      </c>
      <c r="C5">
        <v>16485.580000000002</v>
      </c>
      <c r="D5">
        <v>25985.58</v>
      </c>
      <c r="E5" s="1">
        <v>44053</v>
      </c>
      <c r="F5" t="s">
        <v>5</v>
      </c>
    </row>
    <row r="6" spans="1:6" x14ac:dyDescent="0.55000000000000004">
      <c r="A6">
        <v>2200</v>
      </c>
      <c r="B6">
        <v>9500</v>
      </c>
      <c r="C6">
        <v>16822.900000000001</v>
      </c>
      <c r="D6">
        <v>26322.9</v>
      </c>
      <c r="E6" s="1">
        <v>44084</v>
      </c>
      <c r="F6" t="s">
        <v>5</v>
      </c>
    </row>
    <row r="7" spans="1:6" x14ac:dyDescent="0.55000000000000004">
      <c r="A7">
        <v>2200</v>
      </c>
      <c r="B7">
        <v>9500</v>
      </c>
      <c r="C7">
        <v>18148.84</v>
      </c>
      <c r="D7">
        <v>27648.84</v>
      </c>
      <c r="E7" s="1">
        <v>44114</v>
      </c>
      <c r="F7" t="s">
        <v>5</v>
      </c>
    </row>
    <row r="8" spans="1:6" x14ac:dyDescent="0.55000000000000004">
      <c r="A8">
        <v>2200</v>
      </c>
      <c r="B8">
        <v>9500</v>
      </c>
      <c r="C8">
        <v>18718.43</v>
      </c>
      <c r="D8">
        <v>28218.43</v>
      </c>
      <c r="E8" s="1">
        <v>44145</v>
      </c>
      <c r="F8" t="s">
        <v>5</v>
      </c>
    </row>
    <row r="9" spans="1:6" x14ac:dyDescent="0.55000000000000004">
      <c r="A9">
        <v>2200</v>
      </c>
      <c r="B9">
        <v>8000</v>
      </c>
      <c r="C9">
        <v>18340.150000000001</v>
      </c>
      <c r="D9">
        <v>26340.15</v>
      </c>
      <c r="E9" s="1">
        <v>44175</v>
      </c>
      <c r="F9" t="s">
        <v>5</v>
      </c>
    </row>
    <row r="10" spans="1:6" x14ac:dyDescent="0.55000000000000004">
      <c r="A10">
        <v>2200</v>
      </c>
      <c r="B10">
        <v>9000</v>
      </c>
      <c r="C10">
        <v>19010.27</v>
      </c>
      <c r="D10">
        <v>28010.27</v>
      </c>
      <c r="E10" s="1">
        <v>44206</v>
      </c>
      <c r="F10" t="s">
        <v>5</v>
      </c>
    </row>
    <row r="11" spans="1:6" x14ac:dyDescent="0.55000000000000004">
      <c r="A11">
        <v>2200</v>
      </c>
      <c r="B11">
        <v>19000</v>
      </c>
      <c r="C11">
        <v>10822.49</v>
      </c>
      <c r="D11">
        <v>29822.49</v>
      </c>
      <c r="E11" s="1">
        <v>44237</v>
      </c>
      <c r="F11" t="s">
        <v>6</v>
      </c>
    </row>
    <row r="12" spans="1:6" x14ac:dyDescent="0.55000000000000004">
      <c r="A12">
        <v>2200</v>
      </c>
      <c r="B12">
        <v>19000</v>
      </c>
      <c r="C12">
        <v>10981.86</v>
      </c>
      <c r="D12">
        <v>29981.86</v>
      </c>
      <c r="E12" s="1">
        <v>44265</v>
      </c>
      <c r="F12" t="s">
        <v>7</v>
      </c>
    </row>
    <row r="13" spans="1:6" x14ac:dyDescent="0.55000000000000004">
      <c r="A13">
        <v>2200</v>
      </c>
      <c r="B13">
        <v>19000</v>
      </c>
      <c r="C13">
        <v>11301.37</v>
      </c>
      <c r="D13">
        <v>30301.37</v>
      </c>
      <c r="E13" s="1">
        <v>44296</v>
      </c>
      <c r="F13" t="s">
        <v>7</v>
      </c>
    </row>
    <row r="14" spans="1:6" x14ac:dyDescent="0.55000000000000004">
      <c r="A14">
        <v>2200</v>
      </c>
      <c r="B14">
        <v>19000</v>
      </c>
      <c r="C14">
        <v>11921.11</v>
      </c>
      <c r="D14">
        <v>30921.11</v>
      </c>
      <c r="E14" s="1">
        <v>44326</v>
      </c>
      <c r="F14" t="s">
        <v>8</v>
      </c>
    </row>
    <row r="15" spans="1:6" x14ac:dyDescent="0.55000000000000004">
      <c r="A15">
        <v>2200</v>
      </c>
      <c r="B15">
        <v>19000</v>
      </c>
      <c r="C15">
        <v>12356.54</v>
      </c>
      <c r="D15">
        <v>31356.54</v>
      </c>
      <c r="E15" s="1">
        <v>44357</v>
      </c>
      <c r="F15" t="s">
        <v>7</v>
      </c>
    </row>
    <row r="16" spans="1:6" x14ac:dyDescent="0.55000000000000004">
      <c r="A16">
        <v>2200</v>
      </c>
      <c r="B16">
        <v>19000</v>
      </c>
      <c r="C16">
        <v>11547.4</v>
      </c>
      <c r="D16">
        <v>30547.4</v>
      </c>
      <c r="E16" s="1">
        <v>44387</v>
      </c>
      <c r="F16" t="s">
        <v>9</v>
      </c>
    </row>
    <row r="17" spans="1:6" x14ac:dyDescent="0.55000000000000004">
      <c r="A17">
        <v>2200</v>
      </c>
      <c r="B17">
        <v>19000</v>
      </c>
      <c r="C17">
        <v>11393.18</v>
      </c>
      <c r="D17">
        <v>30393.18</v>
      </c>
      <c r="E17" s="1">
        <v>44418</v>
      </c>
      <c r="F17" t="s">
        <v>10</v>
      </c>
    </row>
    <row r="18" spans="1:6" x14ac:dyDescent="0.55000000000000004">
      <c r="A18">
        <v>2200</v>
      </c>
      <c r="B18">
        <v>19000</v>
      </c>
      <c r="C18">
        <v>10987.09</v>
      </c>
      <c r="D18">
        <v>29987.09</v>
      </c>
      <c r="E18" s="1">
        <v>44449</v>
      </c>
      <c r="F18" t="s">
        <v>11</v>
      </c>
    </row>
    <row r="19" spans="1:6" x14ac:dyDescent="0.55000000000000004">
      <c r="A19">
        <v>2200</v>
      </c>
      <c r="B19">
        <v>19000</v>
      </c>
      <c r="C19">
        <v>10822.52</v>
      </c>
      <c r="D19">
        <v>29822.52</v>
      </c>
      <c r="E19" s="1">
        <v>44479</v>
      </c>
      <c r="F19" t="s">
        <v>12</v>
      </c>
    </row>
    <row r="20" spans="1:6" x14ac:dyDescent="0.55000000000000004">
      <c r="A20">
        <v>2200</v>
      </c>
      <c r="B20">
        <v>19000</v>
      </c>
      <c r="C20">
        <v>11489.56</v>
      </c>
      <c r="D20">
        <v>30489.56</v>
      </c>
      <c r="E20" s="1">
        <v>44510</v>
      </c>
      <c r="F20" t="s">
        <v>13</v>
      </c>
    </row>
    <row r="21" spans="1:6" x14ac:dyDescent="0.55000000000000004">
      <c r="A21">
        <v>2200</v>
      </c>
      <c r="B21">
        <v>19000</v>
      </c>
      <c r="C21">
        <v>11489.56</v>
      </c>
      <c r="D21">
        <v>30489.56</v>
      </c>
      <c r="E21" s="1">
        <v>44540</v>
      </c>
      <c r="F21" t="s">
        <v>14</v>
      </c>
    </row>
    <row r="22" spans="1:6" x14ac:dyDescent="0.55000000000000004">
      <c r="A22">
        <v>2200</v>
      </c>
      <c r="B22">
        <v>19000</v>
      </c>
      <c r="C22">
        <v>21162.51</v>
      </c>
      <c r="D22">
        <v>40162.51</v>
      </c>
      <c r="E22" s="1">
        <v>44571</v>
      </c>
      <c r="F22" t="s">
        <v>15</v>
      </c>
    </row>
    <row r="23" spans="1:6" x14ac:dyDescent="0.55000000000000004">
      <c r="A23">
        <v>2200</v>
      </c>
      <c r="B23">
        <v>19000</v>
      </c>
      <c r="C23">
        <v>22070.22</v>
      </c>
      <c r="D23">
        <v>41070.22</v>
      </c>
      <c r="E23" s="1">
        <v>44602</v>
      </c>
      <c r="F23" t="s">
        <v>16</v>
      </c>
    </row>
    <row r="24" spans="1:6" x14ac:dyDescent="0.55000000000000004">
      <c r="A24">
        <v>2200</v>
      </c>
      <c r="B24">
        <v>19000</v>
      </c>
      <c r="C24">
        <v>22070.22</v>
      </c>
      <c r="D24">
        <v>41070.22</v>
      </c>
      <c r="E24" s="1">
        <v>44630</v>
      </c>
      <c r="F24" t="s">
        <v>17</v>
      </c>
    </row>
    <row r="25" spans="1:6" x14ac:dyDescent="0.55000000000000004">
      <c r="A25">
        <v>2200</v>
      </c>
      <c r="B25">
        <v>11000</v>
      </c>
      <c r="C25">
        <v>17612.03</v>
      </c>
      <c r="D25">
        <v>28612.03</v>
      </c>
      <c r="E25" s="1">
        <v>44661</v>
      </c>
      <c r="F25" t="s">
        <v>18</v>
      </c>
    </row>
    <row r="26" spans="1:6" x14ac:dyDescent="0.55000000000000004">
      <c r="A26">
        <v>2200</v>
      </c>
      <c r="B26">
        <v>12000</v>
      </c>
      <c r="C26">
        <v>28039.61</v>
      </c>
      <c r="D26">
        <v>40039.61</v>
      </c>
      <c r="E26" s="1">
        <v>44691</v>
      </c>
      <c r="F26" t="s">
        <v>19</v>
      </c>
    </row>
    <row r="27" spans="1:6" x14ac:dyDescent="0.55000000000000004">
      <c r="A27">
        <v>2200</v>
      </c>
      <c r="B27">
        <v>13000</v>
      </c>
      <c r="C27">
        <v>28224.74</v>
      </c>
      <c r="D27">
        <v>41224.74</v>
      </c>
      <c r="E27" s="1">
        <v>44722</v>
      </c>
      <c r="F27" t="s">
        <v>20</v>
      </c>
    </row>
    <row r="28" spans="1:6" x14ac:dyDescent="0.55000000000000004">
      <c r="A28">
        <v>2200</v>
      </c>
      <c r="B28">
        <v>13000</v>
      </c>
      <c r="C28">
        <v>26682.58</v>
      </c>
      <c r="D28">
        <v>39682.58</v>
      </c>
      <c r="E28" s="1">
        <v>44752</v>
      </c>
      <c r="F28" t="s">
        <v>21</v>
      </c>
    </row>
    <row r="29" spans="1:6" x14ac:dyDescent="0.55000000000000004">
      <c r="A29">
        <v>2200</v>
      </c>
      <c r="B29">
        <v>13000</v>
      </c>
      <c r="C29">
        <v>26682.58</v>
      </c>
      <c r="D29">
        <v>39682.58</v>
      </c>
      <c r="E29" s="1">
        <v>44783</v>
      </c>
      <c r="F29" t="s">
        <v>22</v>
      </c>
    </row>
    <row r="30" spans="1:6" x14ac:dyDescent="0.55000000000000004">
      <c r="A30">
        <v>2200</v>
      </c>
      <c r="B30">
        <v>13000</v>
      </c>
      <c r="C30">
        <v>26682.58</v>
      </c>
      <c r="D30">
        <v>39682.58</v>
      </c>
      <c r="E30" s="1">
        <v>44814</v>
      </c>
      <c r="F30" t="s">
        <v>22</v>
      </c>
    </row>
    <row r="31" spans="1:6" x14ac:dyDescent="0.55000000000000004">
      <c r="A31">
        <v>2200</v>
      </c>
      <c r="B31">
        <v>13000</v>
      </c>
      <c r="C31">
        <v>26682.58</v>
      </c>
      <c r="D31">
        <v>39682.58</v>
      </c>
      <c r="E31" s="1">
        <v>44844</v>
      </c>
      <c r="F31" t="s">
        <v>22</v>
      </c>
    </row>
    <row r="32" spans="1:6" x14ac:dyDescent="0.55000000000000004">
      <c r="A32">
        <v>2200</v>
      </c>
      <c r="B32">
        <v>15000</v>
      </c>
      <c r="C32">
        <v>29221.88</v>
      </c>
      <c r="D32">
        <v>44221.88</v>
      </c>
      <c r="E32" s="1">
        <v>44875</v>
      </c>
      <c r="F32" t="s">
        <v>23</v>
      </c>
    </row>
    <row r="33" spans="1:6" x14ac:dyDescent="0.55000000000000004">
      <c r="A33">
        <v>2200</v>
      </c>
      <c r="B33">
        <v>15000</v>
      </c>
      <c r="C33">
        <v>48813.93</v>
      </c>
      <c r="D33">
        <v>63813.93</v>
      </c>
      <c r="E33" s="1">
        <v>44905</v>
      </c>
      <c r="F33" t="s">
        <v>24</v>
      </c>
    </row>
    <row r="34" spans="1:6" x14ac:dyDescent="0.55000000000000004">
      <c r="A34">
        <v>2200</v>
      </c>
      <c r="B34">
        <v>15000</v>
      </c>
      <c r="C34">
        <v>50362</v>
      </c>
      <c r="D34">
        <v>65362</v>
      </c>
      <c r="E34" s="1">
        <v>44936</v>
      </c>
      <c r="F34" t="s">
        <v>25</v>
      </c>
    </row>
    <row r="35" spans="1:6" x14ac:dyDescent="0.55000000000000004">
      <c r="A35">
        <v>3100</v>
      </c>
      <c r="B35">
        <v>15000</v>
      </c>
      <c r="C35">
        <v>49820.3</v>
      </c>
      <c r="D35">
        <v>64820.3</v>
      </c>
      <c r="E35" s="1">
        <v>44967</v>
      </c>
      <c r="F35" t="s">
        <v>26</v>
      </c>
    </row>
    <row r="36" spans="1:6" x14ac:dyDescent="0.55000000000000004">
      <c r="A36">
        <v>3100</v>
      </c>
      <c r="B36">
        <v>15000</v>
      </c>
      <c r="C36">
        <v>50742.8</v>
      </c>
      <c r="D36">
        <v>65742.8</v>
      </c>
      <c r="E36" s="1">
        <v>44995</v>
      </c>
      <c r="F36" t="s">
        <v>27</v>
      </c>
    </row>
    <row r="37" spans="1:6" x14ac:dyDescent="0.55000000000000004">
      <c r="A37">
        <v>3100</v>
      </c>
      <c r="B37">
        <v>15000</v>
      </c>
      <c r="C37">
        <v>24797.17</v>
      </c>
      <c r="D37">
        <v>39797.17</v>
      </c>
      <c r="E37" s="1">
        <v>45026</v>
      </c>
      <c r="F37" t="s">
        <v>28</v>
      </c>
    </row>
    <row r="38" spans="1:6" x14ac:dyDescent="0.55000000000000004">
      <c r="A38">
        <v>3100</v>
      </c>
      <c r="B38">
        <v>15000</v>
      </c>
      <c r="C38">
        <v>24797.17</v>
      </c>
      <c r="D38">
        <v>39797.17</v>
      </c>
      <c r="E38" s="1">
        <v>45056</v>
      </c>
      <c r="F38" t="s">
        <v>28</v>
      </c>
    </row>
    <row r="39" spans="1:6" x14ac:dyDescent="0.55000000000000004">
      <c r="A39">
        <v>3100</v>
      </c>
      <c r="B39">
        <v>15000</v>
      </c>
      <c r="C39">
        <v>24797.17</v>
      </c>
      <c r="D39">
        <v>39797.17</v>
      </c>
      <c r="E39" s="1">
        <v>45087</v>
      </c>
      <c r="F39" t="s">
        <v>29</v>
      </c>
    </row>
    <row r="40" spans="1:6" x14ac:dyDescent="0.55000000000000004">
      <c r="A40">
        <v>5000</v>
      </c>
      <c r="B40">
        <v>15000</v>
      </c>
      <c r="C40">
        <v>24797.17</v>
      </c>
      <c r="D40">
        <v>39797.17</v>
      </c>
      <c r="E40" s="1">
        <v>45117</v>
      </c>
      <c r="F40" t="s">
        <v>28</v>
      </c>
    </row>
    <row r="41" spans="1:6" x14ac:dyDescent="0.55000000000000004">
      <c r="A41">
        <v>5600</v>
      </c>
      <c r="B41">
        <v>15000</v>
      </c>
      <c r="C41">
        <v>24797.17</v>
      </c>
      <c r="D41">
        <v>39797.17</v>
      </c>
      <c r="E41" s="1">
        <v>45148</v>
      </c>
      <c r="F41" t="s">
        <v>28</v>
      </c>
    </row>
    <row r="42" spans="1:6" x14ac:dyDescent="0.55000000000000004">
      <c r="A42">
        <v>5600</v>
      </c>
      <c r="B42">
        <v>15000</v>
      </c>
      <c r="C42">
        <v>24797.17</v>
      </c>
      <c r="D42">
        <v>39797.17</v>
      </c>
      <c r="E42" s="1">
        <v>45179</v>
      </c>
      <c r="F42" t="s">
        <v>28</v>
      </c>
    </row>
    <row r="43" spans="1:6" x14ac:dyDescent="0.55000000000000004">
      <c r="A43">
        <v>5600</v>
      </c>
      <c r="B43">
        <v>39000</v>
      </c>
      <c r="C43">
        <v>797.17</v>
      </c>
      <c r="D43">
        <v>39797.17</v>
      </c>
      <c r="E43" s="1">
        <v>45209</v>
      </c>
      <c r="F43" t="s">
        <v>30</v>
      </c>
    </row>
    <row r="44" spans="1:6" x14ac:dyDescent="0.55000000000000004">
      <c r="A44">
        <v>5600</v>
      </c>
      <c r="B44">
        <v>39000</v>
      </c>
      <c r="C44">
        <v>797.17</v>
      </c>
      <c r="D44">
        <v>39797.17</v>
      </c>
      <c r="E44" s="1">
        <v>45240</v>
      </c>
      <c r="F44" t="s">
        <v>28</v>
      </c>
    </row>
    <row r="45" spans="1:6" x14ac:dyDescent="0.55000000000000004">
      <c r="A45">
        <v>5200</v>
      </c>
      <c r="B45">
        <v>39000</v>
      </c>
      <c r="C45">
        <v>797.17</v>
      </c>
      <c r="D45">
        <v>39797.17</v>
      </c>
      <c r="E45" s="1">
        <v>45270</v>
      </c>
      <c r="F45" t="s">
        <v>28</v>
      </c>
    </row>
    <row r="46" spans="1:6" x14ac:dyDescent="0.55000000000000004">
      <c r="A46">
        <v>5200</v>
      </c>
      <c r="B46">
        <v>39000</v>
      </c>
      <c r="C46">
        <v>797.17</v>
      </c>
      <c r="D46">
        <v>39797.17</v>
      </c>
      <c r="E46" s="1">
        <v>45301</v>
      </c>
      <c r="F46" t="s">
        <v>28</v>
      </c>
    </row>
    <row r="47" spans="1:6" x14ac:dyDescent="0.55000000000000004">
      <c r="A47">
        <v>5200</v>
      </c>
      <c r="B47">
        <v>39000</v>
      </c>
      <c r="C47">
        <v>797.17</v>
      </c>
      <c r="D47">
        <v>39797.17</v>
      </c>
      <c r="E47" s="1">
        <v>45332</v>
      </c>
      <c r="F47" t="s">
        <v>31</v>
      </c>
    </row>
    <row r="48" spans="1:6" x14ac:dyDescent="0.55000000000000004">
      <c r="A48">
        <v>5200</v>
      </c>
      <c r="B48">
        <v>39000</v>
      </c>
      <c r="C48">
        <v>15532.62</v>
      </c>
      <c r="D48">
        <v>54532.62</v>
      </c>
      <c r="E48" s="1">
        <v>45361</v>
      </c>
      <c r="F48" t="s">
        <v>32</v>
      </c>
    </row>
    <row r="49" spans="1:6" x14ac:dyDescent="0.55000000000000004">
      <c r="A49">
        <v>5200</v>
      </c>
      <c r="B49">
        <v>39000</v>
      </c>
      <c r="C49">
        <v>14555.74</v>
      </c>
      <c r="D49">
        <v>53555.74</v>
      </c>
      <c r="E49" s="1">
        <v>45392</v>
      </c>
      <c r="F49" t="s">
        <v>33</v>
      </c>
    </row>
    <row r="50" spans="1:6" x14ac:dyDescent="0.55000000000000004">
      <c r="A50">
        <v>5200</v>
      </c>
      <c r="B50">
        <v>44000</v>
      </c>
      <c r="C50">
        <v>13943.31</v>
      </c>
      <c r="D50">
        <v>57943.31</v>
      </c>
      <c r="E50" s="1">
        <v>45422</v>
      </c>
      <c r="F50" t="s">
        <v>34</v>
      </c>
    </row>
    <row r="51" spans="1:6" x14ac:dyDescent="0.55000000000000004">
      <c r="A51">
        <v>5200</v>
      </c>
      <c r="B51">
        <v>44000</v>
      </c>
      <c r="C51">
        <v>14985.89</v>
      </c>
      <c r="D51">
        <v>58985.89</v>
      </c>
      <c r="E51" s="1">
        <v>45453</v>
      </c>
      <c r="F51" t="s">
        <v>34</v>
      </c>
    </row>
    <row r="52" spans="1:6" x14ac:dyDescent="0.55000000000000004">
      <c r="A52">
        <v>5200</v>
      </c>
      <c r="B52">
        <v>44000</v>
      </c>
      <c r="C52">
        <v>14985.89</v>
      </c>
      <c r="D52">
        <v>58985.89</v>
      </c>
      <c r="E52" s="1">
        <v>45483</v>
      </c>
      <c r="F52" t="s">
        <v>35</v>
      </c>
    </row>
    <row r="53" spans="1:6" x14ac:dyDescent="0.55000000000000004">
      <c r="A53">
        <v>5200</v>
      </c>
      <c r="B53">
        <v>44000</v>
      </c>
      <c r="C53">
        <v>14157.27</v>
      </c>
      <c r="D53">
        <v>58157.27</v>
      </c>
      <c r="E53" s="1">
        <v>45514</v>
      </c>
      <c r="F53" t="s">
        <v>36</v>
      </c>
    </row>
    <row r="54" spans="1:6" x14ac:dyDescent="0.55000000000000004">
      <c r="A54">
        <v>5200</v>
      </c>
      <c r="B54">
        <v>47000</v>
      </c>
      <c r="C54">
        <v>14759.33</v>
      </c>
      <c r="D54">
        <v>61759.33</v>
      </c>
      <c r="E54" s="1">
        <v>45545</v>
      </c>
      <c r="F54" t="s">
        <v>37</v>
      </c>
    </row>
    <row r="55" spans="1:6" x14ac:dyDescent="0.55000000000000004">
      <c r="A55">
        <v>5200</v>
      </c>
      <c r="B55">
        <v>47000</v>
      </c>
      <c r="C55">
        <v>15296.54</v>
      </c>
      <c r="D55">
        <v>62296.54</v>
      </c>
      <c r="E55" s="1">
        <v>45575</v>
      </c>
      <c r="F55" t="s">
        <v>37</v>
      </c>
    </row>
    <row r="56" spans="1:6" x14ac:dyDescent="0.55000000000000004">
      <c r="A56">
        <v>5200</v>
      </c>
      <c r="B56">
        <v>47000</v>
      </c>
      <c r="C56">
        <v>14818.1</v>
      </c>
      <c r="D56">
        <v>61818.1</v>
      </c>
      <c r="E56" s="1">
        <v>45606</v>
      </c>
      <c r="F56" t="s">
        <v>37</v>
      </c>
    </row>
    <row r="57" spans="1:6" x14ac:dyDescent="0.55000000000000004">
      <c r="A57">
        <v>5200</v>
      </c>
      <c r="B57">
        <v>47000</v>
      </c>
      <c r="C57">
        <v>14375.71</v>
      </c>
      <c r="D57">
        <v>61375.71</v>
      </c>
      <c r="E57" s="1">
        <v>45636</v>
      </c>
      <c r="F57" t="s">
        <v>40</v>
      </c>
    </row>
    <row r="58" spans="1:6" x14ac:dyDescent="0.55000000000000004">
      <c r="A58">
        <v>5200</v>
      </c>
      <c r="B58">
        <v>47000</v>
      </c>
      <c r="C58">
        <v>14375.71</v>
      </c>
      <c r="D58">
        <v>61375.71</v>
      </c>
      <c r="E58" s="1">
        <v>45667</v>
      </c>
      <c r="F58" t="s">
        <v>39</v>
      </c>
    </row>
    <row r="59" spans="1:6" x14ac:dyDescent="0.55000000000000004">
      <c r="A59">
        <v>5200</v>
      </c>
      <c r="B59">
        <v>47000</v>
      </c>
      <c r="C59">
        <v>24468.3</v>
      </c>
      <c r="D59">
        <v>71468.3</v>
      </c>
      <c r="E59" s="1">
        <v>45698</v>
      </c>
      <c r="F59" t="s">
        <v>38</v>
      </c>
    </row>
    <row r="60" spans="1:6" x14ac:dyDescent="0.55000000000000004">
      <c r="A60">
        <v>5200</v>
      </c>
      <c r="B60">
        <v>47000</v>
      </c>
      <c r="C60">
        <v>24468.3</v>
      </c>
      <c r="D60">
        <v>71468.3</v>
      </c>
      <c r="E60" s="1">
        <v>45726</v>
      </c>
      <c r="F60" t="s">
        <v>42</v>
      </c>
    </row>
    <row r="61" spans="1:6" x14ac:dyDescent="0.55000000000000004">
      <c r="A61">
        <v>5200</v>
      </c>
      <c r="B61">
        <v>47000</v>
      </c>
      <c r="C61">
        <v>24468.3</v>
      </c>
      <c r="D61">
        <v>71468.3</v>
      </c>
      <c r="E61" s="1">
        <v>45757</v>
      </c>
      <c r="F61" t="s">
        <v>42</v>
      </c>
    </row>
    <row r="62" spans="1:6" x14ac:dyDescent="0.55000000000000004">
      <c r="A62">
        <v>5200</v>
      </c>
      <c r="B62">
        <v>47000</v>
      </c>
      <c r="C62">
        <v>34148.99</v>
      </c>
      <c r="D62">
        <v>81148.990000000005</v>
      </c>
      <c r="E62" s="1">
        <v>45787</v>
      </c>
      <c r="F62" t="s">
        <v>43</v>
      </c>
    </row>
    <row r="63" spans="1:6" x14ac:dyDescent="0.55000000000000004">
      <c r="A63">
        <v>5200</v>
      </c>
      <c r="B63">
        <v>47000</v>
      </c>
      <c r="C63">
        <v>47466.96</v>
      </c>
      <c r="D63">
        <v>94466.96</v>
      </c>
      <c r="E63" s="1">
        <v>45818</v>
      </c>
      <c r="F63" t="s">
        <v>44</v>
      </c>
    </row>
    <row r="64" spans="1:6" x14ac:dyDescent="0.55000000000000004">
      <c r="A64">
        <v>5200</v>
      </c>
      <c r="B64">
        <v>47000</v>
      </c>
      <c r="C64">
        <v>47466.96</v>
      </c>
      <c r="D64">
        <v>94466.96</v>
      </c>
      <c r="E64" s="1">
        <v>45848</v>
      </c>
      <c r="F64" t="s">
        <v>42</v>
      </c>
    </row>
    <row r="65" spans="1:6" x14ac:dyDescent="0.55000000000000004">
      <c r="A65">
        <v>5200</v>
      </c>
      <c r="B65">
        <v>47000</v>
      </c>
      <c r="C65">
        <v>47466.96</v>
      </c>
      <c r="D65">
        <v>94466.96</v>
      </c>
      <c r="E65" s="1">
        <v>45879</v>
      </c>
      <c r="F65" t="s">
        <v>42</v>
      </c>
    </row>
    <row r="66" spans="1:6" x14ac:dyDescent="0.55000000000000004">
      <c r="A66">
        <v>5200</v>
      </c>
      <c r="B66">
        <v>47000</v>
      </c>
      <c r="C66">
        <v>50019.21</v>
      </c>
      <c r="D66">
        <f>B66+C66</f>
        <v>97019.209999999992</v>
      </c>
      <c r="E66" s="1">
        <v>45910</v>
      </c>
      <c r="F66" t="s">
        <v>45</v>
      </c>
    </row>
    <row r="67" spans="1:6" x14ac:dyDescent="0.55000000000000004">
      <c r="A67">
        <v>5200</v>
      </c>
      <c r="B67">
        <v>47000</v>
      </c>
      <c r="C67">
        <v>48900.53</v>
      </c>
      <c r="D67">
        <f>SUM(B67:C67)</f>
        <v>95900.53</v>
      </c>
      <c r="E67" s="1">
        <v>45940</v>
      </c>
      <c r="F67" t="s">
        <v>46</v>
      </c>
    </row>
    <row r="68" spans="1:6" x14ac:dyDescent="0.55000000000000004">
      <c r="A68">
        <v>5200</v>
      </c>
      <c r="B68">
        <v>40000</v>
      </c>
      <c r="C68">
        <v>48900.53</v>
      </c>
      <c r="D68">
        <f>B68+C68</f>
        <v>88900.53</v>
      </c>
      <c r="E68" s="1">
        <v>45971</v>
      </c>
      <c r="F68" t="s">
        <v>47</v>
      </c>
    </row>
    <row r="69" spans="1:6" x14ac:dyDescent="0.55000000000000004">
      <c r="A69">
        <v>7800</v>
      </c>
      <c r="B69">
        <v>40000</v>
      </c>
      <c r="C69">
        <v>48900.53</v>
      </c>
      <c r="D69">
        <f t="shared" ref="D69:D72" si="0">B69+C69</f>
        <v>88900.53</v>
      </c>
      <c r="E69" s="1">
        <v>46001</v>
      </c>
      <c r="F69" t="s">
        <v>42</v>
      </c>
    </row>
    <row r="70" spans="1:6" x14ac:dyDescent="0.55000000000000004">
      <c r="A70">
        <v>7800</v>
      </c>
      <c r="B70">
        <v>40000</v>
      </c>
      <c r="C70">
        <v>48900.53</v>
      </c>
      <c r="D70">
        <f t="shared" si="0"/>
        <v>88900.53</v>
      </c>
      <c r="E70" s="1">
        <v>46032</v>
      </c>
      <c r="F70" t="s">
        <v>42</v>
      </c>
    </row>
    <row r="71" spans="1:6" x14ac:dyDescent="0.55000000000000004">
      <c r="A71">
        <v>7800</v>
      </c>
      <c r="B71">
        <v>40000</v>
      </c>
      <c r="C71">
        <v>43442.49</v>
      </c>
      <c r="D71">
        <f t="shared" si="0"/>
        <v>83442.489999999991</v>
      </c>
      <c r="E71" s="1">
        <v>46063</v>
      </c>
      <c r="F71" t="s">
        <v>48</v>
      </c>
    </row>
    <row r="72" spans="1:6" x14ac:dyDescent="0.55000000000000004">
      <c r="A72">
        <v>7800</v>
      </c>
      <c r="B72">
        <v>40000</v>
      </c>
      <c r="C72">
        <v>52872.14</v>
      </c>
      <c r="D72">
        <f t="shared" si="0"/>
        <v>92872.14</v>
      </c>
      <c r="E72" s="1">
        <v>46091</v>
      </c>
      <c r="F72" t="s">
        <v>49</v>
      </c>
    </row>
    <row r="73" spans="1:6" x14ac:dyDescent="0.55000000000000004">
      <c r="A73">
        <v>7800</v>
      </c>
      <c r="B73">
        <v>43000</v>
      </c>
      <c r="C73">
        <v>53915.22</v>
      </c>
      <c r="D73">
        <f t="shared" ref="D73:D74" si="1">B73+C73</f>
        <v>96915.22</v>
      </c>
      <c r="E73" s="1">
        <v>46122</v>
      </c>
      <c r="F73" t="s">
        <v>50</v>
      </c>
    </row>
    <row r="74" spans="1:6" x14ac:dyDescent="0.55000000000000004">
      <c r="A74">
        <v>7800</v>
      </c>
      <c r="B74">
        <v>43000</v>
      </c>
      <c r="C74">
        <v>54931.74</v>
      </c>
      <c r="D74">
        <f t="shared" si="1"/>
        <v>97931.739999999991</v>
      </c>
      <c r="E74" s="1">
        <v>46152</v>
      </c>
      <c r="F74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2026-05-09T13:49:44Z</dcterms:modified>
</cp:coreProperties>
</file>